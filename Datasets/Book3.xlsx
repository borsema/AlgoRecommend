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ishborse/PycharmProjects/AlgoRecommend/Datasets/"/>
    </mc:Choice>
  </mc:AlternateContent>
  <xr:revisionPtr revIDLastSave="0" documentId="13_ncr:1_{E92135CB-CDB6-124F-9F38-BC4B42818FBA}" xr6:coauthVersionLast="47" xr6:coauthVersionMax="47" xr10:uidLastSave="{00000000-0000-0000-0000-000000000000}"/>
  <bookViews>
    <workbookView xWindow="0" yWindow="660" windowWidth="29400" windowHeight="18460" xr2:uid="{D52E778E-1B9A-F742-BAFD-6EDEAB9F154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29" i="1"/>
</calcChain>
</file>

<file path=xl/sharedStrings.xml><?xml version="1.0" encoding="utf-8"?>
<sst xmlns="http://schemas.openxmlformats.org/spreadsheetml/2006/main" count="72" uniqueCount="32">
  <si>
    <t xml:space="preserve">Payment </t>
  </si>
  <si>
    <t>Payment amount</t>
  </si>
  <si>
    <t>Date</t>
  </si>
  <si>
    <t>Payment Receipt no</t>
  </si>
  <si>
    <t>Flamante_PH2_3828</t>
  </si>
  <si>
    <t>GST</t>
  </si>
  <si>
    <t>Flamante_PH2_3826</t>
  </si>
  <si>
    <t>Agreement</t>
  </si>
  <si>
    <t>Flamante_PH2_3252</t>
  </si>
  <si>
    <t>Flamante_PH2_3251</t>
  </si>
  <si>
    <t>Flamante_PH2_1244</t>
  </si>
  <si>
    <t>SBI</t>
  </si>
  <si>
    <t>Flamante_PH2_1243</t>
  </si>
  <si>
    <t>Flamante_PH2_1242</t>
  </si>
  <si>
    <t>Flamante_PH2_1226</t>
  </si>
  <si>
    <t>Flamante_PH2_933</t>
  </si>
  <si>
    <t>TDS</t>
  </si>
  <si>
    <t>Flamante_PH2_676</t>
  </si>
  <si>
    <t>stamp duty remainig</t>
  </si>
  <si>
    <t>Flamante_PH2_639</t>
  </si>
  <si>
    <t>own</t>
  </si>
  <si>
    <t>Payment given to VTP till date</t>
  </si>
  <si>
    <t>total</t>
  </si>
  <si>
    <t>Flamante_PH2_4752</t>
  </si>
  <si>
    <t>Flamante_PH2_4753</t>
  </si>
  <si>
    <t>Bank</t>
  </si>
  <si>
    <t>Demand 2 4739</t>
  </si>
  <si>
    <t>Demand 01 667</t>
  </si>
  <si>
    <t>Demand 3 5548</t>
  </si>
  <si>
    <t>remaining</t>
  </si>
  <si>
    <t>paid</t>
  </si>
  <si>
    <t>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</si>
</sst>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D4EA-E359-6545-A3B3-C1AF2D435261}">
  <dimension ref="A1:I32"/>
  <sheetViews>
    <sheetView tabSelected="1" workbookViewId="0">
      <selection activeCell="E36" sqref="E36"/>
    </sheetView>
  </sheetViews>
  <sheetFormatPr baseColWidth="10" defaultRowHeight="16" x14ac:dyDescent="0.2"/>
  <cols>
    <col min="1" max="2" width="27.5" customWidth="1"/>
    <col min="3" max="3" width="35.5" customWidth="1"/>
    <col min="4" max="4" width="14.6640625" bestFit="1" customWidth="1"/>
  </cols>
  <sheetData>
    <row r="1" spans="1:9" x14ac:dyDescent="0.2">
      <c r="A1" t="s">
        <v>2</v>
      </c>
      <c r="B1" t="s">
        <v>3</v>
      </c>
      <c r="C1" t="s">
        <v>0</v>
      </c>
      <c r="D1" t="s">
        <v>1</v>
      </c>
    </row>
    <row r="2" spans="1:9" x14ac:dyDescent="0.2">
      <c r="A2" s="1">
        <v>45984</v>
      </c>
      <c r="B2" t="s">
        <v>24</v>
      </c>
      <c r="C2" t="s">
        <v>5</v>
      </c>
      <c r="D2">
        <v>12618</v>
      </c>
      <c r="F2" s="3" t="s">
        <v>28</v>
      </c>
      <c r="G2" s="2">
        <v>264980</v>
      </c>
    </row>
    <row r="3" spans="1:9" x14ac:dyDescent="0.2">
      <c r="A3" s="1">
        <v>45984</v>
      </c>
      <c r="B3" t="s">
        <v>23</v>
      </c>
      <c r="C3" t="s">
        <v>7</v>
      </c>
      <c r="D3">
        <v>252362</v>
      </c>
      <c r="F3" s="3"/>
      <c r="G3" s="2"/>
    </row>
    <row r="4" spans="1:9" x14ac:dyDescent="0.2">
      <c r="A4" s="1">
        <v>45829</v>
      </c>
      <c r="B4" t="s">
        <v>4</v>
      </c>
      <c r="C4" t="s">
        <v>5</v>
      </c>
      <c r="D4">
        <v>42060</v>
      </c>
    </row>
    <row r="5" spans="1:9" x14ac:dyDescent="0.2">
      <c r="A5" s="1">
        <v>45829</v>
      </c>
      <c r="B5" t="s">
        <v>6</v>
      </c>
      <c r="C5" t="s">
        <v>7</v>
      </c>
      <c r="D5">
        <v>841208</v>
      </c>
    </row>
    <row r="6" spans="1:9" x14ac:dyDescent="0.2">
      <c r="A6" s="1">
        <v>45782</v>
      </c>
      <c r="B6" t="s">
        <v>8</v>
      </c>
      <c r="C6" t="s">
        <v>5</v>
      </c>
      <c r="D6">
        <v>42062</v>
      </c>
      <c r="F6" s="3" t="s">
        <v>26</v>
      </c>
      <c r="G6" s="2">
        <v>883271</v>
      </c>
    </row>
    <row r="7" spans="1:9" x14ac:dyDescent="0.2">
      <c r="A7" s="1">
        <v>45782</v>
      </c>
      <c r="B7" t="s">
        <v>9</v>
      </c>
      <c r="C7" t="s">
        <v>7</v>
      </c>
      <c r="D7">
        <v>841209</v>
      </c>
      <c r="F7" s="3"/>
      <c r="G7" s="2"/>
    </row>
    <row r="8" spans="1:9" x14ac:dyDescent="0.2">
      <c r="A8" s="1">
        <v>45441</v>
      </c>
      <c r="B8" t="s">
        <v>10</v>
      </c>
      <c r="C8" t="s">
        <v>5</v>
      </c>
      <c r="D8">
        <v>84120</v>
      </c>
      <c r="E8" t="s">
        <v>11</v>
      </c>
      <c r="F8" s="3" t="s">
        <v>27</v>
      </c>
      <c r="G8" s="2">
        <v>1483415</v>
      </c>
      <c r="H8">
        <v>200000</v>
      </c>
    </row>
    <row r="9" spans="1:9" x14ac:dyDescent="0.2">
      <c r="A9" s="1">
        <v>45441</v>
      </c>
      <c r="B9" t="s">
        <v>12</v>
      </c>
      <c r="C9" t="s">
        <v>7</v>
      </c>
      <c r="D9">
        <v>949295</v>
      </c>
      <c r="E9" t="s">
        <v>11</v>
      </c>
      <c r="F9" s="3"/>
      <c r="G9" s="2"/>
      <c r="H9">
        <v>641208</v>
      </c>
      <c r="I9">
        <v>42060</v>
      </c>
    </row>
    <row r="10" spans="1:9" x14ac:dyDescent="0.2">
      <c r="A10" s="1">
        <v>45441</v>
      </c>
      <c r="B10" t="s">
        <v>13</v>
      </c>
      <c r="C10" t="s">
        <v>7</v>
      </c>
      <c r="D10">
        <v>450000</v>
      </c>
      <c r="E10" t="s">
        <v>20</v>
      </c>
      <c r="F10" s="3"/>
      <c r="G10" s="2"/>
      <c r="H10">
        <v>841208</v>
      </c>
      <c r="I10">
        <v>42060</v>
      </c>
    </row>
    <row r="11" spans="1:9" x14ac:dyDescent="0.2">
      <c r="A11" s="1">
        <v>45417</v>
      </c>
      <c r="B11" t="s">
        <v>15</v>
      </c>
      <c r="C11" t="s">
        <v>16</v>
      </c>
      <c r="D11">
        <v>84121</v>
      </c>
    </row>
    <row r="12" spans="1:9" x14ac:dyDescent="0.2">
      <c r="A12" s="1">
        <v>45398</v>
      </c>
      <c r="B12" t="s">
        <v>17</v>
      </c>
      <c r="C12" t="s">
        <v>18</v>
      </c>
      <c r="D12">
        <v>1200</v>
      </c>
    </row>
    <row r="13" spans="1:9" x14ac:dyDescent="0.2">
      <c r="A13" s="1">
        <v>45398</v>
      </c>
      <c r="B13" t="s">
        <v>19</v>
      </c>
      <c r="C13" t="s">
        <v>18</v>
      </c>
      <c r="D13">
        <v>1200</v>
      </c>
    </row>
    <row r="22" spans="1:7" x14ac:dyDescent="0.2">
      <c r="A22" t="s">
        <v>21</v>
      </c>
      <c r="B22">
        <v>200000</v>
      </c>
    </row>
    <row r="23" spans="1:7" x14ac:dyDescent="0.2">
      <c r="B23">
        <v>641208</v>
      </c>
      <c r="C23">
        <v>42060</v>
      </c>
      <c r="G23" s="2"/>
    </row>
    <row r="24" spans="1:7" x14ac:dyDescent="0.2">
      <c r="B24">
        <v>841208</v>
      </c>
      <c r="C24">
        <v>42060</v>
      </c>
      <c r="G24" s="2"/>
    </row>
    <row r="25" spans="1:7" x14ac:dyDescent="0.2">
      <c r="B25">
        <v>841208</v>
      </c>
      <c r="C25">
        <v>42060</v>
      </c>
      <c r="G25" s="2"/>
    </row>
    <row r="26" spans="1:7" x14ac:dyDescent="0.2">
      <c r="B26">
        <v>841208</v>
      </c>
      <c r="C26">
        <v>42060</v>
      </c>
      <c r="G26" s="2"/>
    </row>
    <row r="27" spans="1:7" x14ac:dyDescent="0.2">
      <c r="B27">
        <v>252362</v>
      </c>
      <c r="C27">
        <v>12618</v>
      </c>
      <c r="G27" s="2"/>
    </row>
    <row r="28" spans="1:7" x14ac:dyDescent="0.2">
      <c r="G28" s="2"/>
    </row>
    <row r="29" spans="1:7" x14ac:dyDescent="0.2">
      <c r="B29" t="s">
        <v>22</v>
      </c>
      <c r="C29">
        <f>SUM(B22:C27)</f>
        <v>3798052</v>
      </c>
      <c r="D29" t="s">
        <v>30</v>
      </c>
    </row>
    <row r="30" spans="1:7" x14ac:dyDescent="0.2">
      <c r="C30">
        <v>8412083</v>
      </c>
      <c r="D30" t="s">
        <v>29</v>
      </c>
    </row>
    <row r="31" spans="1:7" x14ac:dyDescent="0.2">
      <c r="C31">
        <v>420604</v>
      </c>
      <c r="D31" t="s">
        <v>29</v>
      </c>
    </row>
    <row r="32" spans="1:7" x14ac:dyDescent="0.2">
      <c r="C32">
        <f>C29-C30+C31</f>
        <v>-4193427</v>
      </c>
      <c r="D32" t="s">
        <v>31</v>
      </c>
    </row>
  </sheetData>
  <mergeCells count="9">
    <mergeCell ref="G23:G24"/>
    <mergeCell ref="G25:G26"/>
    <mergeCell ref="G27:G28"/>
    <mergeCell ref="F8:F10"/>
    <mergeCell ref="G8:G10"/>
    <mergeCell ref="F6:F7"/>
    <mergeCell ref="G6:G7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BB05-A834-D24A-9802-A51341B7F412}">
  <dimension ref="A1:E14"/>
  <sheetViews>
    <sheetView workbookViewId="0">
      <selection activeCell="D8" activeCellId="2" sqref="D5 D7 D8"/>
    </sheetView>
  </sheetViews>
  <sheetFormatPr baseColWidth="10" defaultRowHeight="16" x14ac:dyDescent="0.2"/>
  <cols>
    <col min="1" max="1" width="9.83203125" bestFit="1" customWidth="1"/>
    <col min="2" max="2" width="18" bestFit="1" customWidth="1"/>
    <col min="3" max="3" width="17.5" bestFit="1" customWidth="1"/>
    <col min="4" max="4" width="14.6640625" bestFit="1" customWidth="1"/>
  </cols>
  <sheetData>
    <row r="1" spans="1:5" x14ac:dyDescent="0.2">
      <c r="A1" t="s">
        <v>2</v>
      </c>
      <c r="B1" t="s">
        <v>14</v>
      </c>
      <c r="C1" t="s">
        <v>0</v>
      </c>
      <c r="D1" t="s">
        <v>1</v>
      </c>
    </row>
    <row r="2" spans="1:5" x14ac:dyDescent="0.2">
      <c r="A2" s="1">
        <v>45398</v>
      </c>
      <c r="B2" t="s">
        <v>17</v>
      </c>
      <c r="C2" t="s">
        <v>18</v>
      </c>
      <c r="D2">
        <v>1200</v>
      </c>
    </row>
    <row r="3" spans="1:5" x14ac:dyDescent="0.2">
      <c r="A3" s="1">
        <v>45398</v>
      </c>
      <c r="B3" t="s">
        <v>15</v>
      </c>
      <c r="C3" t="s">
        <v>18</v>
      </c>
      <c r="D3">
        <v>1200</v>
      </c>
    </row>
    <row r="4" spans="1:5" x14ac:dyDescent="0.2">
      <c r="A4" s="1">
        <v>45417</v>
      </c>
      <c r="B4" t="s">
        <v>3</v>
      </c>
      <c r="C4" t="s">
        <v>16</v>
      </c>
      <c r="D4">
        <v>84121</v>
      </c>
    </row>
    <row r="5" spans="1:5" x14ac:dyDescent="0.2">
      <c r="A5" s="1">
        <v>45441</v>
      </c>
      <c r="B5" t="s">
        <v>13</v>
      </c>
      <c r="C5" t="s">
        <v>7</v>
      </c>
      <c r="D5">
        <v>450000</v>
      </c>
    </row>
    <row r="6" spans="1:5" x14ac:dyDescent="0.2">
      <c r="A6" s="1">
        <v>45441</v>
      </c>
      <c r="B6" t="s">
        <v>12</v>
      </c>
      <c r="C6" t="s">
        <v>7</v>
      </c>
    </row>
    <row r="7" spans="1:5" x14ac:dyDescent="0.2">
      <c r="A7" s="1">
        <v>45441</v>
      </c>
      <c r="B7" t="s">
        <v>10</v>
      </c>
      <c r="C7" t="s">
        <v>7</v>
      </c>
      <c r="D7">
        <v>949295</v>
      </c>
      <c r="E7" t="s">
        <v>25</v>
      </c>
    </row>
    <row r="8" spans="1:5" x14ac:dyDescent="0.2">
      <c r="A8" s="1">
        <v>45441</v>
      </c>
      <c r="B8" t="s">
        <v>9</v>
      </c>
      <c r="C8" t="s">
        <v>5</v>
      </c>
      <c r="D8">
        <v>84120</v>
      </c>
      <c r="E8" t="s">
        <v>25</v>
      </c>
    </row>
    <row r="9" spans="1:5" x14ac:dyDescent="0.2">
      <c r="A9" s="1">
        <v>45782</v>
      </c>
      <c r="B9" t="s">
        <v>8</v>
      </c>
      <c r="C9" t="s">
        <v>7</v>
      </c>
      <c r="D9">
        <v>841209</v>
      </c>
    </row>
    <row r="10" spans="1:5" x14ac:dyDescent="0.2">
      <c r="A10" s="1">
        <v>45782</v>
      </c>
      <c r="B10" t="s">
        <v>6</v>
      </c>
      <c r="C10" t="s">
        <v>5</v>
      </c>
      <c r="D10">
        <v>42062</v>
      </c>
    </row>
    <row r="11" spans="1:5" x14ac:dyDescent="0.2">
      <c r="A11" s="1">
        <v>45829</v>
      </c>
      <c r="B11" t="s">
        <v>4</v>
      </c>
      <c r="C11" t="s">
        <v>7</v>
      </c>
      <c r="D11">
        <v>841208</v>
      </c>
    </row>
    <row r="12" spans="1:5" x14ac:dyDescent="0.2">
      <c r="A12" s="1">
        <v>45829</v>
      </c>
      <c r="B12" t="s">
        <v>23</v>
      </c>
      <c r="C12" t="s">
        <v>5</v>
      </c>
      <c r="D12">
        <v>42060</v>
      </c>
    </row>
    <row r="13" spans="1:5" x14ac:dyDescent="0.2">
      <c r="A13" s="1">
        <v>45984</v>
      </c>
      <c r="B13" t="s">
        <v>24</v>
      </c>
      <c r="C13" t="s">
        <v>7</v>
      </c>
      <c r="D13">
        <v>252362</v>
      </c>
    </row>
    <row r="14" spans="1:5" x14ac:dyDescent="0.2">
      <c r="A14" s="1">
        <v>45984</v>
      </c>
      <c r="B14" t="s">
        <v>19</v>
      </c>
      <c r="C14" t="s">
        <v>5</v>
      </c>
      <c r="D14">
        <v>12618</v>
      </c>
    </row>
  </sheetData>
  <sortState xmlns:xlrd2="http://schemas.microsoft.com/office/spreadsheetml/2017/richdata2" ref="A2:D16">
    <sortCondition ref="A1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ai5sdhl</dc:creator>
  <cp:lastModifiedBy>ai5sdhl</cp:lastModifiedBy>
  <dcterms:created xsi:type="dcterms:W3CDTF">2026-01-23T07:40:54Z</dcterms:created>
  <dcterms:modified xsi:type="dcterms:W3CDTF">2026-02-09T02:12:28Z</dcterms:modified>
</cp:coreProperties>
</file>